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v\MoFaCTS\docs\"/>
    </mc:Choice>
  </mc:AlternateContent>
  <xr:revisionPtr revIDLastSave="0" documentId="13_ncr:1_{DCFBBACD-0D2E-4495-9178-F912E1EF38F2}" xr6:coauthVersionLast="47" xr6:coauthVersionMax="47" xr10:uidLastSave="{00000000-0000-0000-0000-000000000000}"/>
  <bookViews>
    <workbookView xWindow="4727" yWindow="1993" windowWidth="16006" windowHeight="9180" xr2:uid="{00000000-000D-0000-FFFF-FFFF00000000}"/>
  </bookViews>
  <sheets>
    <sheet name="42 specifications" sheetId="1" r:id="rId1"/>
    <sheet name="Shared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 l="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alcChain>
</file>

<file path=xl/sharedStrings.xml><?xml version="1.0" encoding="utf-8"?>
<sst xmlns="http://schemas.openxmlformats.org/spreadsheetml/2006/main" count="194" uniqueCount="120">
  <si>
    <t>SPARC primitive instructions — 42 specifications</t>
  </si>
  <si>
    <t>SYNTHESIS: Integrate the selected aspects into one coherent instructional move using consistent terminology and a shared case where appropriate. Factual information supports the relevant model or rule; a model explains the rule when both are selected. Strategically integrate as many specified KC demands as feasible and elicit them. Choose suitable strategies rather than separate mini-lessons or every listed activity. Respect move, component, and response-format boundaries.</t>
  </si>
  <si>
    <t>Apply synthesis above and common boundary on sheet 2. 3 compositions × 2 formats × 7 categories = 42 shared specifications; five transition groups = 210 instructional productions.</t>
  </si>
  <si>
    <t>Review ID</t>
  </si>
  <si>
    <t>Exact target category (IF)</t>
  </si>
  <si>
    <t>Selected composition and response format (THEN)</t>
  </si>
  <si>
    <t>Proposed move and category instructions</t>
  </si>
  <si>
    <t>1.1.1</t>
  </si>
  <si>
    <t>Fact</t>
  </si>
  <si>
    <t>Question (text answer)</t>
  </si>
  <si>
    <t>1.1.2</t>
  </si>
  <si>
    <t>Model</t>
  </si>
  <si>
    <t>1.1.3</t>
  </si>
  <si>
    <t>Rule</t>
  </si>
  <si>
    <t>1.1.4</t>
  </si>
  <si>
    <t>Fact + model</t>
  </si>
  <si>
    <t>1.1.5</t>
  </si>
  <si>
    <t>Fact + rule</t>
  </si>
  <si>
    <t>1.1.6</t>
  </si>
  <si>
    <t>Model + rule (principle)</t>
  </si>
  <si>
    <t>1.1.7</t>
  </si>
  <si>
    <t>Fact + model + rule</t>
  </si>
  <si>
    <t>1.2.1</t>
  </si>
  <si>
    <t>Question (multiple choice)</t>
  </si>
  <si>
    <t>1.2.2</t>
  </si>
  <si>
    <t>1.2.3</t>
  </si>
  <si>
    <t>1.2.4</t>
  </si>
  <si>
    <t>1.2.5</t>
  </si>
  <si>
    <t>1.2.6</t>
  </si>
  <si>
    <t>1.2.7</t>
  </si>
  <si>
    <t>2.1.1</t>
  </si>
  <si>
    <t>Explanation + question (text answer)</t>
  </si>
  <si>
    <t>2.1.2</t>
  </si>
  <si>
    <t>2.1.3</t>
  </si>
  <si>
    <t>2.1.4</t>
  </si>
  <si>
    <t>2.1.5</t>
  </si>
  <si>
    <t>2.1.6</t>
  </si>
  <si>
    <t>2.1.7</t>
  </si>
  <si>
    <t>2.2.1</t>
  </si>
  <si>
    <t>Explanation + question (multiple choice)</t>
  </si>
  <si>
    <t>2.2.2</t>
  </si>
  <si>
    <t>2.2.3</t>
  </si>
  <si>
    <t>2.2.4</t>
  </si>
  <si>
    <t>2.2.5</t>
  </si>
  <si>
    <t>2.2.6</t>
  </si>
  <si>
    <t>2.2.7</t>
  </si>
  <si>
    <t>3.1.1</t>
  </si>
  <si>
    <t>Explanation + support + question (text answer)</t>
  </si>
  <si>
    <t>3.1.2</t>
  </si>
  <si>
    <t>3.1.3</t>
  </si>
  <si>
    <t>3.1.4</t>
  </si>
  <si>
    <t>3.1.5</t>
  </si>
  <si>
    <t>3.1.6</t>
  </si>
  <si>
    <t>3.1.7</t>
  </si>
  <si>
    <t>3.2.1</t>
  </si>
  <si>
    <t>Explanation + support + question (multiple choice)</t>
  </si>
  <si>
    <t>3.2.2</t>
  </si>
  <si>
    <t>3.2.3</t>
  </si>
  <si>
    <t>3.2.4</t>
  </si>
  <si>
    <t>3.2.5</t>
  </si>
  <si>
    <t>3.2.6</t>
  </si>
  <si>
    <t>3.2.7</t>
  </si>
  <si>
    <t>Shared generation instructions</t>
  </si>
  <si>
    <t>Editable proposals. Changes in column B update all applicable combinations on the first sheet.</t>
  </si>
  <si>
    <t>Precedence: selected target and move/component boundaries govern the applicable category strategies.</t>
  </si>
  <si>
    <t>Instruction block</t>
  </si>
  <si>
    <t>Proposed text</t>
  </si>
  <si>
    <t>Common boundary</t>
  </si>
  <si>
    <t>Teach only the selected target, or the correct distinction needed to repair the selected misconception. Do not attribute an unstated belief to the learner. The authored KC may require recall, recognition, application, and/or explanation; explicitly allow multiple demands. Strategically integrate as many of the demands as feasible that it specifies and elicit them. Do not force every possible demand into one response or turn a recall/recognition target into an application problem. Preserve the selected move and generate only its requested component. Only the question component may ask for a learner response. Do not repeat feedback or disclose internal metadata.</t>
  </si>
  <si>
    <t>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t>
  </si>
  <si>
    <t>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t>
  </si>
  <si>
    <t>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t>
  </si>
  <si>
    <t>Question</t>
  </si>
  <si>
    <t>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t>
  </si>
  <si>
    <t>Explanation + question</t>
  </si>
  <si>
    <t>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t>
  </si>
  <si>
    <t>Explanation + support + question</t>
  </si>
  <si>
    <t>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t>
  </si>
  <si>
    <t>Text response</t>
  </si>
  <si>
    <t>RESPONSE FORMAT: The learner supplies a free-text answer. Ask a natural question appropriate to the KC demands; no answer options are supplied.</t>
  </si>
  <si>
    <t>Multiple choice</t>
  </si>
  <si>
    <t>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t>
  </si>
  <si>
    <t>Basis and scope</t>
  </si>
  <si>
    <t>Original instructional wording informed by KLI and the accepted project design. The seven fact/model/rule combinations and principle = model + rule are the project taxonomy. The runtime uses the same shared blocks in sparcCategoryInstructions.ts. This workbook is editable review material; editing it does not change executable configuration.</t>
  </si>
  <si>
    <t>KLI evidence boundary</t>
  </si>
  <si>
    <t>KLI emphasizes memory and fluency for facts, induction/refinement for rules, and sense-making for knowledge with rationales. It discusses feature focusing, worked examples, and conditional benefits of self-explanation. Mnemonic elaboration is discussed as a possible counterargument; it does not establish self-explanation as a universal fact-learning strategy.</t>
  </si>
  <si>
    <t>KLI source</t>
  </si>
  <si>
    <t>Koedinger, Corbett &amp; Perfetti (2012), Cognitive Science 36, 757–798; Tables 3–5 and sections 5–6. https://pact.cs.cmu.edu/pubs/Koedinger,%20Corbett,%20Perfetti%202012-KLI.pdf</t>
  </si>
  <si>
    <t>Keyword-method source</t>
  </si>
  <si>
    <t>Raugh &amp; Atkinson (1974), A Mnemonic Method for the Acquisition of a Second-Language Vocabulary, Stanford Technical Report 224. https://files.eric.ed.gov/fulltext/ED096816.pdf</t>
  </si>
  <si>
    <t>Retrieval source</t>
  </si>
  <si>
    <t>Karpicke &amp; Blunt (2011), Retrieval practice produces more learning than elaborative studying with concept mapping. Science 331, 772–775. This supports retaining retrieval in the strategy set, not a universal ranking of every map activity. https://pubmed.ncbi.nlm.nih.gov/21252317/</t>
  </si>
  <si>
    <t>Reuse and composition</t>
  </si>
  <si>
    <t>42 specifications are shared across five target transitions, giving 210 automatic instructional productions. Exact category matching belongs in IF; THEN selects composition and response format. Shared generation, persistence, and synthesis remain shared.</t>
  </si>
  <si>
    <t>Items for discussion</t>
  </si>
  <si>
    <t>Approved complete-move assistance logits: question text −0.25, MC 0.25; explanation text 1.55, MC 2.05; rich text 2.52, MC 3.02. Target demands govern wording; labels for student choices distinguish text and multiple choice.</t>
  </si>
  <si>
    <t>Repository references</t>
  </si>
  <si>
    <t>Planning: C:/dev/MoFaCTS.wiki/SPARC-Instructional-Cycle-Specification.md. Existing move definitions: learning-components/units/sparcsession/sparcMoveDefinitions.ts. Existing production family: learning-components/units/sparcsession/sparcDynamicInstructionRules.ts.</t>
  </si>
  <si>
    <t>Confidence Interval target</t>
  </si>
  <si>
    <t>Authored category and rationale</t>
  </si>
  <si>
    <t>e1</t>
  </si>
  <si>
    <t>model-rule: Relates the repeated-sampling model to the conditions required for its interpretation.</t>
  </si>
  <si>
    <t>e2</t>
  </si>
  <si>
    <t>model: Interprets the long-run relationship between construction and coverage.</t>
  </si>
  <si>
    <t>e3</t>
  </si>
  <si>
    <t>fact-model: Connects the fixed-parameter distinction with the interpretation of a realized interval.</t>
  </si>
  <si>
    <t>a</t>
  </si>
  <si>
    <t>rule: Applies the interval-construction procedure to an estimate, multiplier, and standard error.</t>
  </si>
  <si>
    <t>b</t>
  </si>
  <si>
    <t>model-rule: Connects the sample-size relationship to its quantitative margin-of-error rule.</t>
  </si>
  <si>
    <t>c</t>
  </si>
  <si>
    <t>fact-rule: Recognizes the unknown-standard-deviation condition and selects the appropriate multiplier and degrees of freedom.</t>
  </si>
  <si>
    <t>d</t>
  </si>
  <si>
    <t>rule: Recognizes whether both outcome counts meet the approximation conditions.</t>
  </si>
  <si>
    <t>M1</t>
  </si>
  <si>
    <t>model: Repairs the misconception by distinguishing repeated-procedure coverage from probability assigned to a fixed realized parameter.</t>
  </si>
  <si>
    <t>M2</t>
  </si>
  <si>
    <t>fact-model: Repairs the distinction between individual observations and the population parameter described by the interval.</t>
  </si>
  <si>
    <t>M3</t>
  </si>
  <si>
    <t>model-rule: Repairs the interpretation linking confidence level, interval construction, and repeated-sampling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</si>
</sst>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sz val="11"/>
      <color rgb="FF25344A"/>
      <name val="Arial"/>
    </font>
    <font>
      <b/>
      <sz val="16"/>
      <color rgb="FF263F60"/>
      <name val="Arial"/>
    </font>
    <font>
      <sz val="11"/>
      <color rgb="FF526275"/>
      <name val="Arial"/>
    </font>
    <font>
      <b/>
      <sz val="11"/>
      <color rgb="FFFFFFFF"/>
      <name val="Arial"/>
    </font>
    <font>
      <b/>
      <sz val="11"/>
      <color rgb="FF263F60"/>
      <name val="Arial"/>
    </font>
  </fonts>
  <fills count="9">
    <fill>
      <patternFill patternType="none"/>
    </fill>
    <fill>
      <patternFill patternType="gray125"/>
    </fill>
    <fill>
      <patternFill patternType="solid">
        <fgColor rgb="FFFFF8E8"/>
      </patternFill>
    </fill>
    <fill>
      <patternFill patternType="solid">
        <fgColor rgb="FF263F60"/>
      </patternFill>
    </fill>
    <fill>
      <patternFill patternType="solid">
        <fgColor rgb="FFEDF2F8"/>
      </patternFill>
    </fill>
    <fill>
      <patternFill patternType="solid">
        <fgColor rgb="FFFFF8E8"/>
      </patternFill>
    </fill>
    <fill>
      <patternFill patternType="solid">
        <fgColor rgb="FFEDF2F8"/>
      </patternFill>
    </fill>
    <fill>
      <patternFill patternType="solid">
        <fgColor rgb="FFFFFFFF"/>
      </patternFill>
    </fill>
    <fill>
      <patternFill patternType="solid">
        <fgColor rgb="FF263F60"/>
      </patternFill>
    </fill>
  </fills>
  <borders count="2">
    <border>
      <left/>
      <right/>
      <top/>
      <bottom/>
      <diagonal/>
    </border>
    <border>
      <left/>
      <right/>
      <top style="medium">
        <color rgb="FF263F60"/>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0" borderId="0" xfId="0" applyFont="1" applyAlignment="1">
      <alignment vertical="top"/>
    </xf>
    <xf numFmtId="0" fontId="1" fillId="0" borderId="0" xfId="0" applyFont="1" applyAlignment="1">
      <alignment vertical="top" wrapText="1"/>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1" xfId="0" applyFont="1" applyFill="1" applyBorder="1" applyAlignment="1">
      <alignment vertical="top" wrapText="1"/>
    </xf>
    <xf numFmtId="0" fontId="1" fillId="7" borderId="0" xfId="0" applyFont="1" applyFill="1" applyAlignment="1">
      <alignment vertical="top" wrapText="1"/>
    </xf>
    <xf numFmtId="0" fontId="1" fillId="6" borderId="0" xfId="0" applyFont="1" applyFill="1" applyAlignment="1">
      <alignment vertical="top" wrapText="1"/>
    </xf>
    <xf numFmtId="0" fontId="4" fillId="8" borderId="0" xfId="0" applyFont="1" applyFill="1" applyAlignment="1">
      <alignment vertical="top"/>
    </xf>
    <xf numFmtId="0" fontId="3"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imitiveSpecifications" displayName="PrimitiveSpecifications" ref="A5:D47" totalsRowShown="0">
  <tableColumns count="4">
    <tableColumn id="1" xr3:uid="{00000000-0010-0000-0000-000001000000}" name="Review ID"/>
    <tableColumn id="2" xr3:uid="{00000000-0010-0000-0000-000002000000}" name="Exact target category (IF)"/>
    <tableColumn id="3" xr3:uid="{00000000-0010-0000-0000-000003000000}" name="Selected composition and response format (THEN)"/>
    <tableColumn id="4" xr3:uid="{00000000-0010-0000-0000-000004000000}" name="Proposed move and category instruc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F60"/>
  </sheetPr>
  <dimension ref="A1:D47"/>
  <sheetViews>
    <sheetView showGridLines="0" tabSelected="1" workbookViewId="0">
      <pane xSplit="3" ySplit="5" topLeftCell="D6" activePane="bottomRight" state="frozen"/>
      <selection pane="topRight"/>
      <selection pane="bottomLeft"/>
      <selection pane="bottomRight" activeCell="D6" sqref="D6"/>
    </sheetView>
  </sheetViews>
  <sheetFormatPr defaultRowHeight="14.35" x14ac:dyDescent="0.5"/>
  <cols>
    <col min="1" max="1" width="10" customWidth="1"/>
    <col min="2" max="2" width="25" customWidth="1"/>
    <col min="3" max="3" width="29" customWidth="1"/>
    <col min="4" max="4" width="145" customWidth="1"/>
  </cols>
  <sheetData>
    <row r="1" spans="1:4" x14ac:dyDescent="0.5">
      <c r="A1" s="1"/>
      <c r="B1" s="1"/>
      <c r="C1" s="1"/>
      <c r="D1" s="1"/>
    </row>
    <row r="2" spans="1:4" ht="26" customHeight="1" x14ac:dyDescent="0.5">
      <c r="A2" s="2" t="s">
        <v>0</v>
      </c>
      <c r="B2" s="1"/>
      <c r="C2" s="1"/>
      <c r="D2" s="1"/>
    </row>
    <row r="3" spans="1:4" ht="58" customHeight="1" x14ac:dyDescent="0.5">
      <c r="A3" s="13" t="s">
        <v>1</v>
      </c>
      <c r="B3" s="13"/>
      <c r="C3" s="13"/>
      <c r="D3" s="13"/>
    </row>
    <row r="4" spans="1:4" ht="30" customHeight="1" x14ac:dyDescent="0.5">
      <c r="A4" s="14" t="s">
        <v>2</v>
      </c>
      <c r="B4" s="14"/>
      <c r="C4" s="14"/>
      <c r="D4" s="14"/>
    </row>
    <row r="5" spans="1:4" ht="32" customHeight="1" x14ac:dyDescent="0.5">
      <c r="A5" s="4" t="s">
        <v>3</v>
      </c>
      <c r="B5" s="4" t="s">
        <v>4</v>
      </c>
      <c r="C5" s="4" t="s">
        <v>5</v>
      </c>
      <c r="D5" s="4" t="s">
        <v>6</v>
      </c>
    </row>
    <row r="6" spans="1:4" ht="156.5" customHeight="1" x14ac:dyDescent="0.5">
      <c r="A6" s="9" t="s">
        <v>7</v>
      </c>
      <c r="B6" s="9" t="s">
        <v>8</v>
      </c>
      <c r="C6" s="9" t="s">
        <v>9</v>
      </c>
      <c r="D6" s="9" t="str">
        <f>'Shared instructions'!$B$10&amp;CHAR(10)&amp;CHAR(10)&amp;'Shared instructions'!$B$13&amp;CHAR(10)&amp;CHAR(10)&amp;'Shared instructions'!$B$7</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7" spans="1:4" ht="143" customHeight="1" x14ac:dyDescent="0.5">
      <c r="A7" s="10" t="s">
        <v>10</v>
      </c>
      <c r="B7" s="10" t="s">
        <v>11</v>
      </c>
      <c r="C7" s="10" t="s">
        <v>9</v>
      </c>
      <c r="D7" s="10" t="str">
        <f>'Shared instructions'!$B$10&amp;CHAR(10)&amp;CHAR(10)&amp;'Shared instructions'!$B$13&amp;CHAR(10)&amp;CHAR(10)&amp;'Shared instructions'!$B$8</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8" spans="1:4" ht="156.5" customHeight="1" x14ac:dyDescent="0.5">
      <c r="A8" s="11" t="s">
        <v>12</v>
      </c>
      <c r="B8" s="11" t="s">
        <v>13</v>
      </c>
      <c r="C8" s="11" t="s">
        <v>9</v>
      </c>
      <c r="D8" s="11" t="str">
        <f>'Shared instructions'!$B$10&amp;CHAR(10)&amp;CHAR(10)&amp;'Shared instructions'!$B$13&amp;CHAR(10)&amp;CHAR(10)&amp;'Shared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9" spans="1:4" ht="224" customHeight="1" x14ac:dyDescent="0.5">
      <c r="A9" s="10" t="s">
        <v>14</v>
      </c>
      <c r="B9" s="10" t="s">
        <v>15</v>
      </c>
      <c r="C9" s="10" t="s">
        <v>9</v>
      </c>
      <c r="D9" s="10" t="str">
        <f>'Shared instructions'!$B$10&amp;CHAR(10)&amp;CHAR(10)&amp;'Shared instructions'!$B$13&amp;CHAR(10)&amp;CHAR(10)&amp;'Shared instructions'!$B$7&amp;CHAR(10)&amp;CHAR(10)&amp;'Shared instructions'!$B$8</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10" spans="1:4" ht="237.5" customHeight="1" x14ac:dyDescent="0.5">
      <c r="A10" s="11" t="s">
        <v>16</v>
      </c>
      <c r="B10" s="11" t="s">
        <v>17</v>
      </c>
      <c r="C10" s="11" t="s">
        <v>9</v>
      </c>
      <c r="D10" s="11" t="str">
        <f>'Shared instructions'!$B$10&amp;CHAR(10)&amp;CHAR(10)&amp;'Shared instructions'!$B$13&amp;CHAR(10)&amp;CHAR(10)&amp;'Shared instructions'!$B$7&amp;CHAR(10)&amp;CHAR(10)&amp;'Shared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1" spans="1:4" ht="224" customHeight="1" x14ac:dyDescent="0.5">
      <c r="A11" s="10" t="s">
        <v>18</v>
      </c>
      <c r="B11" s="10" t="s">
        <v>19</v>
      </c>
      <c r="C11" s="10" t="s">
        <v>9</v>
      </c>
      <c r="D11" s="10" t="str">
        <f>'Shared instructions'!$B$10&amp;CHAR(10)&amp;CHAR(10)&amp;'Shared instructions'!$B$13&amp;CHAR(10)&amp;CHAR(10)&amp;'Shared instructions'!$B$8&amp;CHAR(10)&amp;CHAR(10)&amp;'Shared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2" spans="1:4" ht="305" customHeight="1" x14ac:dyDescent="0.5">
      <c r="A12" s="11" t="s">
        <v>20</v>
      </c>
      <c r="B12" s="11" t="s">
        <v>21</v>
      </c>
      <c r="C12" s="11" t="s">
        <v>9</v>
      </c>
      <c r="D12" s="11" t="str">
        <f>'Shared instructions'!$B$10&amp;CHAR(10)&amp;CHAR(10)&amp;'Shared instructions'!$B$13&amp;CHAR(10)&amp;CHAR(10)&amp;'Shared instructions'!$B$7&amp;CHAR(10)&amp;CHAR(10)&amp;'Shared instructions'!$B$8&amp;CHAR(10)&amp;CHAR(10)&amp;'Shared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3" spans="1:4" ht="197" customHeight="1" x14ac:dyDescent="0.5">
      <c r="A13" s="9" t="s">
        <v>22</v>
      </c>
      <c r="B13" s="9" t="s">
        <v>8</v>
      </c>
      <c r="C13" s="9" t="s">
        <v>23</v>
      </c>
      <c r="D13" s="9" t="str">
        <f>'Shared instructions'!$B$10&amp;CHAR(10)&amp;CHAR(10)&amp;'Shared instructions'!$B$14&amp;CHAR(10)&amp;CHAR(10)&amp;'Shared instructions'!$B$7</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14" spans="1:4" ht="183.5" customHeight="1" x14ac:dyDescent="0.5">
      <c r="A14" s="10" t="s">
        <v>24</v>
      </c>
      <c r="B14" s="10" t="s">
        <v>11</v>
      </c>
      <c r="C14" s="10" t="s">
        <v>23</v>
      </c>
      <c r="D14" s="10" t="str">
        <f>'Shared instructions'!$B$10&amp;CHAR(10)&amp;CHAR(10)&amp;'Shared instructions'!$B$14&amp;CHAR(10)&amp;CHAR(10)&amp;'Shared instructions'!$B$8</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15" spans="1:4" ht="197" customHeight="1" x14ac:dyDescent="0.5">
      <c r="A15" s="11" t="s">
        <v>25</v>
      </c>
      <c r="B15" s="11" t="s">
        <v>13</v>
      </c>
      <c r="C15" s="11" t="s">
        <v>23</v>
      </c>
      <c r="D15" s="11" t="str">
        <f>'Shared instructions'!$B$10&amp;CHAR(10)&amp;CHAR(10)&amp;'Shared instructions'!$B$14&amp;CHAR(10)&amp;CHAR(10)&amp;'Shared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6" spans="1:4" ht="264.5" customHeight="1" x14ac:dyDescent="0.5">
      <c r="A16" s="10" t="s">
        <v>26</v>
      </c>
      <c r="B16" s="10" t="s">
        <v>15</v>
      </c>
      <c r="C16" s="10" t="s">
        <v>23</v>
      </c>
      <c r="D16" s="10" t="str">
        <f>'Shared instructions'!$B$10&amp;CHAR(10)&amp;CHAR(10)&amp;'Shared instructions'!$B$14&amp;CHAR(10)&amp;CHAR(10)&amp;'Shared instructions'!$B$7&amp;CHAR(10)&amp;CHAR(10)&amp;'Shared instructions'!$B$8</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17" spans="1:4" ht="278" customHeight="1" x14ac:dyDescent="0.5">
      <c r="A17" s="11" t="s">
        <v>27</v>
      </c>
      <c r="B17" s="11" t="s">
        <v>17</v>
      </c>
      <c r="C17" s="11" t="s">
        <v>23</v>
      </c>
      <c r="D17" s="11" t="str">
        <f>'Shared instructions'!$B$10&amp;CHAR(10)&amp;CHAR(10)&amp;'Shared instructions'!$B$14&amp;CHAR(10)&amp;CHAR(10)&amp;'Shared instructions'!$B$7&amp;CHAR(10)&amp;CHAR(10)&amp;'Shared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8" spans="1:4" ht="264.5" customHeight="1" x14ac:dyDescent="0.5">
      <c r="A18" s="10" t="s">
        <v>28</v>
      </c>
      <c r="B18" s="10" t="s">
        <v>19</v>
      </c>
      <c r="C18" s="10" t="s">
        <v>23</v>
      </c>
      <c r="D18" s="10" t="str">
        <f>'Shared instructions'!$B$10&amp;CHAR(10)&amp;CHAR(10)&amp;'Shared instructions'!$B$14&amp;CHAR(10)&amp;CHAR(10)&amp;'Shared instructions'!$B$8&amp;CHAR(10)&amp;CHAR(10)&amp;'Shared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19" spans="1:4" ht="345.5" customHeight="1" x14ac:dyDescent="0.5">
      <c r="A19" s="11" t="s">
        <v>29</v>
      </c>
      <c r="B19" s="11" t="s">
        <v>21</v>
      </c>
      <c r="C19" s="11" t="s">
        <v>23</v>
      </c>
      <c r="D19" s="11" t="str">
        <f>'Shared instructions'!$B$10&amp;CHAR(10)&amp;CHAR(10)&amp;'Shared instructions'!$B$14&amp;CHAR(10)&amp;CHAR(10)&amp;'Shared instructions'!$B$7&amp;CHAR(10)&amp;CHAR(10)&amp;'Shared instructions'!$B$8&amp;CHAR(10)&amp;CHAR(10)&amp;'Shared instructions'!$B$9</f>
        <v>MOVE: Produce one coherent focused response task with necessary givens, allowing connected parts when needed to elicit the specified demands. Do not supply an explanation, worked solution, mnemonic, or answer-bearing support. Category strategies that reveal the answer do not apply. A brief completion question is optional.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20" spans="1:4" ht="156.5" customHeight="1" x14ac:dyDescent="0.5">
      <c r="A20" s="9" t="s">
        <v>30</v>
      </c>
      <c r="B20" s="9" t="s">
        <v>8</v>
      </c>
      <c r="C20" s="9" t="s">
        <v>31</v>
      </c>
      <c r="D20" s="9" t="str">
        <f>'Shared instructions'!$B$11&amp;CHAR(10)&amp;CHAR(10)&amp;'Shared instructions'!$B$13&amp;CHAR(10)&amp;CHAR(10)&amp;'Shared instructions'!$B$7</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21" spans="1:4" ht="143" customHeight="1" x14ac:dyDescent="0.5">
      <c r="A21" s="10" t="s">
        <v>32</v>
      </c>
      <c r="B21" s="10" t="s">
        <v>11</v>
      </c>
      <c r="C21" s="10" t="s">
        <v>31</v>
      </c>
      <c r="D21" s="10" t="str">
        <f>'Shared instructions'!$B$11&amp;CHAR(10)&amp;CHAR(10)&amp;'Shared instructions'!$B$13&amp;CHAR(10)&amp;CHAR(10)&amp;'Shared instructions'!$B$8</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22" spans="1:4" ht="156.5" customHeight="1" x14ac:dyDescent="0.5">
      <c r="A22" s="11" t="s">
        <v>33</v>
      </c>
      <c r="B22" s="11" t="s">
        <v>13</v>
      </c>
      <c r="C22" s="11" t="s">
        <v>31</v>
      </c>
      <c r="D22" s="11" t="str">
        <f>'Shared instructions'!$B$11&amp;CHAR(10)&amp;CHAR(10)&amp;'Shared instructions'!$B$13&amp;CHAR(10)&amp;CHAR(10)&amp;'Shared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23" spans="1:4" ht="224" customHeight="1" x14ac:dyDescent="0.5">
      <c r="A23" s="10" t="s">
        <v>34</v>
      </c>
      <c r="B23" s="10" t="s">
        <v>15</v>
      </c>
      <c r="C23" s="10" t="s">
        <v>31</v>
      </c>
      <c r="D23" s="10" t="str">
        <f>'Shared instructions'!$B$11&amp;CHAR(10)&amp;CHAR(10)&amp;'Shared instructions'!$B$13&amp;CHAR(10)&amp;CHAR(10)&amp;'Shared instructions'!$B$7&amp;CHAR(10)&amp;CHAR(10)&amp;'Shared instructions'!$B$8</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24" spans="1:4" ht="237.5" customHeight="1" x14ac:dyDescent="0.5">
      <c r="A24" s="11" t="s">
        <v>35</v>
      </c>
      <c r="B24" s="11" t="s">
        <v>17</v>
      </c>
      <c r="C24" s="11" t="s">
        <v>31</v>
      </c>
      <c r="D24" s="11" t="str">
        <f>'Shared instructions'!$B$11&amp;CHAR(10)&amp;CHAR(10)&amp;'Shared instructions'!$B$13&amp;CHAR(10)&amp;CHAR(10)&amp;'Shared instructions'!$B$7&amp;CHAR(10)&amp;CHAR(10)&amp;'Shared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25" spans="1:4" ht="224" customHeight="1" x14ac:dyDescent="0.5">
      <c r="A25" s="10" t="s">
        <v>36</v>
      </c>
      <c r="B25" s="10" t="s">
        <v>19</v>
      </c>
      <c r="C25" s="10" t="s">
        <v>31</v>
      </c>
      <c r="D25" s="10" t="str">
        <f>'Shared instructions'!$B$11&amp;CHAR(10)&amp;CHAR(10)&amp;'Shared instructions'!$B$13&amp;CHAR(10)&amp;CHAR(10)&amp;'Shared instructions'!$B$8&amp;CHAR(10)&amp;CHAR(10)&amp;'Shared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26" spans="1:4" ht="305" customHeight="1" x14ac:dyDescent="0.5">
      <c r="A26" s="11" t="s">
        <v>37</v>
      </c>
      <c r="B26" s="11" t="s">
        <v>21</v>
      </c>
      <c r="C26" s="11" t="s">
        <v>31</v>
      </c>
      <c r="D26" s="11" t="str">
        <f>'Shared instructions'!$B$11&amp;CHAR(10)&amp;CHAR(10)&amp;'Shared instructions'!$B$13&amp;CHAR(10)&amp;CHAR(10)&amp;'Shared instructions'!$B$7&amp;CHAR(10)&amp;CHAR(10)&amp;'Shared instructions'!$B$8&amp;CHAR(10)&amp;CHAR(10)&amp;'Shared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27" spans="1:4" ht="197" customHeight="1" x14ac:dyDescent="0.5">
      <c r="A27" s="9" t="s">
        <v>38</v>
      </c>
      <c r="B27" s="9" t="s">
        <v>8</v>
      </c>
      <c r="C27" s="9" t="s">
        <v>39</v>
      </c>
      <c r="D27" s="9" t="str">
        <f>'Shared instructions'!$B$11&amp;CHAR(10)&amp;CHAR(10)&amp;'Shared instructions'!$B$14&amp;CHAR(10)&amp;CHAR(10)&amp;'Shared instructions'!$B$7</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28" spans="1:4" ht="183.5" customHeight="1" x14ac:dyDescent="0.5">
      <c r="A28" s="10" t="s">
        <v>40</v>
      </c>
      <c r="B28" s="10" t="s">
        <v>11</v>
      </c>
      <c r="C28" s="10" t="s">
        <v>39</v>
      </c>
      <c r="D28" s="10" t="str">
        <f>'Shared instructions'!$B$11&amp;CHAR(10)&amp;CHAR(10)&amp;'Shared instructions'!$B$14&amp;CHAR(10)&amp;CHAR(10)&amp;'Shared instructions'!$B$8</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29" spans="1:4" ht="197" customHeight="1" x14ac:dyDescent="0.5">
      <c r="A29" s="11" t="s">
        <v>41</v>
      </c>
      <c r="B29" s="11" t="s">
        <v>13</v>
      </c>
      <c r="C29" s="11" t="s">
        <v>39</v>
      </c>
      <c r="D29" s="11" t="str">
        <f>'Shared instructions'!$B$11&amp;CHAR(10)&amp;CHAR(10)&amp;'Shared instructions'!$B$14&amp;CHAR(10)&amp;CHAR(10)&amp;'Shared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0" spans="1:4" ht="264.5" customHeight="1" x14ac:dyDescent="0.5">
      <c r="A30" s="10" t="s">
        <v>42</v>
      </c>
      <c r="B30" s="10" t="s">
        <v>15</v>
      </c>
      <c r="C30" s="10" t="s">
        <v>39</v>
      </c>
      <c r="D30" s="10" t="str">
        <f>'Shared instructions'!$B$11&amp;CHAR(10)&amp;CHAR(10)&amp;'Shared instructions'!$B$14&amp;CHAR(10)&amp;CHAR(10)&amp;'Shared instructions'!$B$7&amp;CHAR(10)&amp;CHAR(10)&amp;'Shared instructions'!$B$8</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31" spans="1:4" ht="278" customHeight="1" x14ac:dyDescent="0.5">
      <c r="A31" s="11" t="s">
        <v>43</v>
      </c>
      <c r="B31" s="11" t="s">
        <v>17</v>
      </c>
      <c r="C31" s="11" t="s">
        <v>39</v>
      </c>
      <c r="D31" s="11" t="str">
        <f>'Shared instructions'!$B$11&amp;CHAR(10)&amp;CHAR(10)&amp;'Shared instructions'!$B$14&amp;CHAR(10)&amp;CHAR(10)&amp;'Shared instructions'!$B$7&amp;CHAR(10)&amp;CHAR(10)&amp;'Shared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2" spans="1:4" ht="264.5" customHeight="1" x14ac:dyDescent="0.5">
      <c r="A32" s="10" t="s">
        <v>44</v>
      </c>
      <c r="B32" s="10" t="s">
        <v>19</v>
      </c>
      <c r="C32" s="10" t="s">
        <v>39</v>
      </c>
      <c r="D32" s="10" t="str">
        <f>'Shared instructions'!$B$11&amp;CHAR(10)&amp;CHAR(10)&amp;'Shared instructions'!$B$14&amp;CHAR(10)&amp;CHAR(10)&amp;'Shared instructions'!$B$8&amp;CHAR(10)&amp;CHAR(10)&amp;'Shared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3" spans="1:4" ht="345.5" customHeight="1" x14ac:dyDescent="0.5">
      <c r="A33" s="11" t="s">
        <v>45</v>
      </c>
      <c r="B33" s="11" t="s">
        <v>21</v>
      </c>
      <c r="C33" s="11" t="s">
        <v>39</v>
      </c>
      <c r="D33" s="11" t="str">
        <f>'Shared instructions'!$B$11&amp;CHAR(10)&amp;CHAR(10)&amp;'Shared instructions'!$B$14&amp;CHAR(10)&amp;CHAR(10)&amp;'Shared instructions'!$B$7&amp;CHAR(10)&amp;CHAR(10)&amp;'Shared instructions'!$B$8&amp;CHAR(10)&amp;CHAR(10)&amp;'Shared instructions'!$B$9</f>
        <v>MOVE: Produce a concise explanation followed by one coherent focused response task. The explanation uses suitable category strategies and contains no learner response task. Elicit the specified demands without stating the question answer. Use a fresh application when transfer is intended; recall or recognition can use the same target association. Do not add a separate support component.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4" spans="1:4" ht="170" customHeight="1" x14ac:dyDescent="0.5">
      <c r="A34" s="9" t="s">
        <v>46</v>
      </c>
      <c r="B34" s="9" t="s">
        <v>8</v>
      </c>
      <c r="C34" s="9" t="s">
        <v>47</v>
      </c>
      <c r="D34" s="9" t="str">
        <f>'Shared instructions'!$B$12&amp;CHAR(10)&amp;CHAR(10)&amp;'Shared instructions'!$B$13&amp;CHAR(10)&amp;CHAR(10)&amp;'Shared instructions'!$B$7</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35" spans="1:4" ht="156.5" customHeight="1" x14ac:dyDescent="0.5">
      <c r="A35" s="10" t="s">
        <v>48</v>
      </c>
      <c r="B35" s="10" t="s">
        <v>11</v>
      </c>
      <c r="C35" s="10" t="s">
        <v>47</v>
      </c>
      <c r="D35" s="10" t="str">
        <f>'Shared instructions'!$B$12&amp;CHAR(10)&amp;CHAR(10)&amp;'Shared instructions'!$B$13&amp;CHAR(10)&amp;CHAR(10)&amp;'Shared instructions'!$B$8</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36" spans="1:4" ht="170" customHeight="1" x14ac:dyDescent="0.5">
      <c r="A36" s="11" t="s">
        <v>49</v>
      </c>
      <c r="B36" s="11" t="s">
        <v>13</v>
      </c>
      <c r="C36" s="11" t="s">
        <v>47</v>
      </c>
      <c r="D36" s="11" t="str">
        <f>'Shared instructions'!$B$12&amp;CHAR(10)&amp;CHAR(10)&amp;'Shared instructions'!$B$13&amp;CHAR(10)&amp;CHAR(10)&amp;'Shared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7" spans="1:4" ht="237.5" customHeight="1" x14ac:dyDescent="0.5">
      <c r="A37" s="10" t="s">
        <v>50</v>
      </c>
      <c r="B37" s="10" t="s">
        <v>15</v>
      </c>
      <c r="C37" s="10" t="s">
        <v>47</v>
      </c>
      <c r="D37" s="10" t="str">
        <f>'Shared instructions'!$B$12&amp;CHAR(10)&amp;CHAR(10)&amp;'Shared instructions'!$B$13&amp;CHAR(10)&amp;CHAR(10)&amp;'Shared instructions'!$B$7&amp;CHAR(10)&amp;CHAR(10)&amp;'Shared instructions'!$B$8</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38" spans="1:4" ht="251" customHeight="1" x14ac:dyDescent="0.5">
      <c r="A38" s="11" t="s">
        <v>51</v>
      </c>
      <c r="B38" s="11" t="s">
        <v>17</v>
      </c>
      <c r="C38" s="11" t="s">
        <v>47</v>
      </c>
      <c r="D38" s="11" t="str">
        <f>'Shared instructions'!$B$12&amp;CHAR(10)&amp;CHAR(10)&amp;'Shared instructions'!$B$13&amp;CHAR(10)&amp;CHAR(10)&amp;'Shared instructions'!$B$7&amp;CHAR(10)&amp;CHAR(10)&amp;'Shared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39" spans="1:4" ht="237.5" customHeight="1" x14ac:dyDescent="0.5">
      <c r="A39" s="10" t="s">
        <v>52</v>
      </c>
      <c r="B39" s="10" t="s">
        <v>19</v>
      </c>
      <c r="C39" s="10" t="s">
        <v>47</v>
      </c>
      <c r="D39" s="10" t="str">
        <f>'Shared instructions'!$B$12&amp;CHAR(10)&amp;CHAR(10)&amp;'Shared instructions'!$B$13&amp;CHAR(10)&amp;CHAR(10)&amp;'Shared instructions'!$B$8&amp;CHAR(10)&amp;CHAR(10)&amp;'Shared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40" spans="1:4" ht="318.5" customHeight="1" x14ac:dyDescent="0.5">
      <c r="A40" s="11" t="s">
        <v>53</v>
      </c>
      <c r="B40" s="11" t="s">
        <v>21</v>
      </c>
      <c r="C40" s="11" t="s">
        <v>47</v>
      </c>
      <c r="D40" s="11" t="str">
        <f>'Shared instructions'!$B$12&amp;CHAR(10)&amp;CHAR(10)&amp;'Shared instructions'!$B$13&amp;CHAR(10)&amp;CHAR(10)&amp;'Shared instructions'!$B$7&amp;CHAR(10)&amp;CHAR(10)&amp;'Shared instructions'!$B$8&amp;CHAR(10)&amp;CHAR(10)&amp;'Shared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supplies a free-text answer. Ask a natural question appropriate to the KC demands; no answer options are supplied.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41" spans="1:4" ht="210.5" customHeight="1" x14ac:dyDescent="0.5">
      <c r="A41" s="9" t="s">
        <v>54</v>
      </c>
      <c r="B41" s="9" t="s">
        <v>8</v>
      </c>
      <c r="C41" s="9" t="s">
        <v>55</v>
      </c>
      <c r="D41" s="9" t="str">
        <f>'Shared instructions'!$B$12&amp;CHAR(10)&amp;CHAR(10)&amp;'Shared instructions'!$B$14&amp;CHAR(10)&amp;CHAR(10)&amp;'Shared instructions'!$B$7</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v>
      </c>
    </row>
    <row r="42" spans="1:4" ht="197" customHeight="1" x14ac:dyDescent="0.5">
      <c r="A42" s="10" t="s">
        <v>56</v>
      </c>
      <c r="B42" s="10" t="s">
        <v>11</v>
      </c>
      <c r="C42" s="10" t="s">
        <v>55</v>
      </c>
      <c r="D42" s="10" t="str">
        <f>'Shared instructions'!$B$12&amp;CHAR(10)&amp;CHAR(10)&amp;'Shared instructions'!$B$14&amp;CHAR(10)&amp;CHAR(10)&amp;'Shared instructions'!$B$8</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43" spans="1:4" ht="210.5" customHeight="1" x14ac:dyDescent="0.5">
      <c r="A43" s="11" t="s">
        <v>57</v>
      </c>
      <c r="B43" s="11" t="s">
        <v>13</v>
      </c>
      <c r="C43" s="11" t="s">
        <v>55</v>
      </c>
      <c r="D43" s="11" t="str">
        <f>'Shared instructions'!$B$12&amp;CHAR(10)&amp;CHAR(10)&amp;'Shared instructions'!$B$14&amp;CHAR(10)&amp;CHAR(10)&amp;'Shared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44" spans="1:4" ht="278" customHeight="1" x14ac:dyDescent="0.5">
      <c r="A44" s="10" t="s">
        <v>58</v>
      </c>
      <c r="B44" s="10" t="s">
        <v>15</v>
      </c>
      <c r="C44" s="10" t="s">
        <v>55</v>
      </c>
      <c r="D44" s="10" t="str">
        <f>'Shared instructions'!$B$12&amp;CHAR(10)&amp;CHAR(10)&amp;'Shared instructions'!$B$14&amp;CHAR(10)&amp;CHAR(10)&amp;'Shared instructions'!$B$7&amp;CHAR(10)&amp;CHAR(10)&amp;'Shared instructions'!$B$8</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v>
      </c>
    </row>
    <row r="45" spans="1:4" ht="291.5" customHeight="1" x14ac:dyDescent="0.5">
      <c r="A45" s="11" t="s">
        <v>59</v>
      </c>
      <c r="B45" s="11" t="s">
        <v>17</v>
      </c>
      <c r="C45" s="11" t="s">
        <v>55</v>
      </c>
      <c r="D45" s="11" t="str">
        <f>'Shared instructions'!$B$12&amp;CHAR(10)&amp;CHAR(10)&amp;'Shared instructions'!$B$14&amp;CHAR(10)&amp;CHAR(10)&amp;'Shared instructions'!$B$7&amp;CHAR(10)&amp;CHAR(10)&amp;'Shared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46" spans="1:4" ht="278" customHeight="1" x14ac:dyDescent="0.5">
      <c r="A46" s="10" t="s">
        <v>60</v>
      </c>
      <c r="B46" s="10" t="s">
        <v>19</v>
      </c>
      <c r="C46" s="10" t="s">
        <v>55</v>
      </c>
      <c r="D46" s="10" t="str">
        <f>'Shared instructions'!$B$12&amp;CHAR(10)&amp;CHAR(10)&amp;'Shared instructions'!$B$14&amp;CHAR(10)&amp;CHAR(10)&amp;'Shared instructions'!$B$8&amp;CHAR(10)&amp;CHAR(10)&amp;'Shared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row r="47" spans="1:4" ht="359" customHeight="1" x14ac:dyDescent="0.5">
      <c r="A47" s="11" t="s">
        <v>61</v>
      </c>
      <c r="B47" s="11" t="s">
        <v>21</v>
      </c>
      <c r="C47" s="11" t="s">
        <v>55</v>
      </c>
      <c r="D47" s="11" t="str">
        <f>'Shared instructions'!$B$12&amp;CHAR(10)&amp;CHAR(10)&amp;'Shared instructions'!$B$14&amp;CHAR(10)&amp;CHAR(10)&amp;'Shared instructions'!$B$7&amp;CHAR(10)&amp;CHAR(10)&amp;'Shared instructions'!$B$8&amp;CHAR(10)&amp;CHAR(10)&amp;'Shared instructions'!$B$9</f>
        <v>MOVE: Produce explanation, one complete worked example OR teaching figure, and one coherent response task. Realize support first; display explanation, support, question. Choose support that serves the category combination. Explanation and question use the actual support and consistent terminology. Support contains no learner question. Use a related new case when the KC requires transfer or application; for recall/recognition, elicit the same target meaning without merely copying its displayed answer.
RESPONSE FORMAT: The learner selects one option. Generate 3 or 4 distinct plausible options with exactly one defensible correct answer. Align distractors with meaningful distinctions, not arbitrary wording tricks. Strategically elicit the KC demands feasible through recognition or selecting an application/explanation. Do not imply that selecting an explanation proves the learner independently produced it. Do not mark the correct option in visible wording or explain the answer before submission.
FACT: Establish the exact association, term, or meaning to be learned. When the move permits teaching, use a useful prior-knowledge connection, distinguishing definition, organization, or retrieval cue. For suitable foreign-language vocabulary, a sound-alike keyword linked by imagery to the meaning is an option. Choose a useful strategy rather than every strategy. Elicit the authored recall, recognition, application, and/or explanation demands; require self-explanation only when the target calls for a meaningful relationship. Do not invent a rationale for an arbitrary fact or replace the association with a different fact.
MODEL: Focus on the important entities, relationships, processes, and assumptions represented by the selected target. When teaching is permitted, make the mechanism or structure explicit and connect it to consequences relevant to the KC. Use a diagram or concept map when labeled relationships clarify the target. Elicit recalling, recognizing, using, and/or explaining the model as the authored KC requires. Do not automatically demand prediction or explanation from a recall target, and do not invent causality for a descriptive or mathematical model.
RULE: Focus on the conditions under which an action or generalization applies. When teaching is permitted, highlight decisive features using a correct application, a contrasting nonexample or misapplication, or a worked sequence as appropriate. Make steps explicit for a procedural rule. Respect whether the KC asks for recall, recognition of applicability, application, and/or explanation. Strategically integrate feasible specified demands; do not automatically require application when only recognition is intended. Address an expressed misconception with the correct distinction without presenting the mistaken rule as valid.</v>
      </c>
    </row>
  </sheetData>
  <mergeCells count="2">
    <mergeCell ref="A3:D3"/>
    <mergeCell ref="A4:D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showGridLines="0" workbookViewId="0">
      <pane ySplit="5" topLeftCell="A6" activePane="bottomLeft" state="frozen"/>
      <selection pane="bottomLeft"/>
    </sheetView>
  </sheetViews>
  <sheetFormatPr defaultRowHeight="14.35" x14ac:dyDescent="0.5"/>
  <cols>
    <col min="1" max="1" width="32" customWidth="1"/>
    <col min="2" max="2" width="145" customWidth="1"/>
    <col min="3" max="3" width="3" customWidth="1"/>
    <col min="4" max="4" width="12" customWidth="1"/>
  </cols>
  <sheetData>
    <row r="1" spans="1:4" x14ac:dyDescent="0.5">
      <c r="A1" s="1"/>
      <c r="B1" s="1"/>
      <c r="C1" s="1"/>
      <c r="D1" s="1"/>
    </row>
    <row r="2" spans="1:4" ht="26" customHeight="1" x14ac:dyDescent="0.5">
      <c r="A2" s="2" t="s">
        <v>62</v>
      </c>
      <c r="B2" s="1"/>
      <c r="C2" s="1"/>
      <c r="D2" s="1"/>
    </row>
    <row r="3" spans="1:4" x14ac:dyDescent="0.5">
      <c r="A3" s="1" t="s">
        <v>63</v>
      </c>
      <c r="B3" s="1"/>
      <c r="C3" s="1"/>
      <c r="D3" s="1"/>
    </row>
    <row r="4" spans="1:4" x14ac:dyDescent="0.5">
      <c r="A4" s="1" t="s">
        <v>64</v>
      </c>
      <c r="B4" s="1"/>
      <c r="C4" s="1"/>
      <c r="D4" s="1"/>
    </row>
    <row r="5" spans="1:4" ht="24" customHeight="1" x14ac:dyDescent="0.5">
      <c r="A5" s="5" t="s">
        <v>65</v>
      </c>
      <c r="B5" s="5" t="s">
        <v>66</v>
      </c>
      <c r="C5" s="1"/>
      <c r="D5" s="1"/>
    </row>
    <row r="6" spans="1:4" ht="75.5" customHeight="1" x14ac:dyDescent="0.5">
      <c r="A6" s="6" t="s">
        <v>67</v>
      </c>
      <c r="B6" s="8" t="s">
        <v>68</v>
      </c>
      <c r="C6" s="1"/>
      <c r="D6" s="1"/>
    </row>
    <row r="7" spans="1:4" ht="75.5" customHeight="1" x14ac:dyDescent="0.5">
      <c r="A7" s="6" t="s">
        <v>8</v>
      </c>
      <c r="B7" s="8" t="s">
        <v>69</v>
      </c>
      <c r="C7" s="1"/>
      <c r="D7" s="1"/>
    </row>
    <row r="8" spans="1:4" ht="62" customHeight="1" x14ac:dyDescent="0.5">
      <c r="A8" s="6" t="s">
        <v>11</v>
      </c>
      <c r="B8" s="8" t="s">
        <v>70</v>
      </c>
      <c r="C8" s="1"/>
      <c r="D8" s="1"/>
    </row>
    <row r="9" spans="1:4" ht="75.5" customHeight="1" x14ac:dyDescent="0.5">
      <c r="A9" s="6" t="s">
        <v>13</v>
      </c>
      <c r="B9" s="8" t="s">
        <v>71</v>
      </c>
      <c r="C9" s="1"/>
      <c r="D9" s="1"/>
    </row>
    <row r="10" spans="1:4" ht="48.5" customHeight="1" x14ac:dyDescent="0.5">
      <c r="A10" s="6" t="s">
        <v>72</v>
      </c>
      <c r="B10" s="8" t="s">
        <v>73</v>
      </c>
      <c r="C10" s="1"/>
      <c r="D10" s="1"/>
    </row>
    <row r="11" spans="1:4" ht="48.5" customHeight="1" x14ac:dyDescent="0.5">
      <c r="A11" s="6" t="s">
        <v>74</v>
      </c>
      <c r="B11" s="8" t="s">
        <v>75</v>
      </c>
      <c r="C11" s="1"/>
      <c r="D11" s="1"/>
    </row>
    <row r="12" spans="1:4" ht="62" customHeight="1" x14ac:dyDescent="0.5">
      <c r="A12" s="6" t="s">
        <v>76</v>
      </c>
      <c r="B12" s="8" t="s">
        <v>77</v>
      </c>
      <c r="C12" s="1"/>
      <c r="D12" s="1"/>
    </row>
    <row r="13" spans="1:4" ht="42" customHeight="1" x14ac:dyDescent="0.5">
      <c r="A13" s="6" t="s">
        <v>78</v>
      </c>
      <c r="B13" s="8" t="s">
        <v>79</v>
      </c>
      <c r="C13" s="1"/>
      <c r="D13" s="1"/>
    </row>
    <row r="14" spans="1:4" ht="62" customHeight="1" x14ac:dyDescent="0.5">
      <c r="A14" s="6" t="s">
        <v>80</v>
      </c>
      <c r="B14" s="8" t="s">
        <v>81</v>
      </c>
      <c r="C14" s="1"/>
      <c r="D14" s="1"/>
    </row>
    <row r="15" spans="1:4" x14ac:dyDescent="0.5">
      <c r="A15" s="1"/>
      <c r="B15" s="1"/>
      <c r="C15" s="1"/>
      <c r="D15" s="1"/>
    </row>
    <row r="16" spans="1:4" ht="48.5" customHeight="1" x14ac:dyDescent="0.5">
      <c r="A16" s="7" t="s">
        <v>82</v>
      </c>
      <c r="B16" s="7" t="s">
        <v>83</v>
      </c>
      <c r="C16" s="1"/>
      <c r="D16" s="1"/>
    </row>
    <row r="17" spans="1:4" ht="48.5" customHeight="1" x14ac:dyDescent="0.5">
      <c r="A17" s="3" t="s">
        <v>84</v>
      </c>
      <c r="B17" s="3" t="s">
        <v>85</v>
      </c>
      <c r="C17" s="1"/>
      <c r="D17" s="1"/>
    </row>
    <row r="18" spans="1:4" ht="42" customHeight="1" x14ac:dyDescent="0.5">
      <c r="A18" s="3" t="s">
        <v>86</v>
      </c>
      <c r="B18" s="3" t="s">
        <v>87</v>
      </c>
      <c r="C18" s="1"/>
      <c r="D18" s="1"/>
    </row>
    <row r="19" spans="1:4" ht="42" customHeight="1" x14ac:dyDescent="0.5">
      <c r="A19" s="3" t="s">
        <v>88</v>
      </c>
      <c r="B19" s="3" t="s">
        <v>89</v>
      </c>
      <c r="C19" s="1"/>
      <c r="D19" s="1"/>
    </row>
    <row r="20" spans="1:4" ht="42" customHeight="1" x14ac:dyDescent="0.5">
      <c r="A20" s="3" t="s">
        <v>90</v>
      </c>
      <c r="B20" s="3" t="s">
        <v>91</v>
      </c>
      <c r="C20" s="1"/>
      <c r="D20" s="1"/>
    </row>
    <row r="21" spans="1:4" ht="42" customHeight="1" x14ac:dyDescent="0.5">
      <c r="A21" s="3" t="s">
        <v>92</v>
      </c>
      <c r="B21" s="3" t="s">
        <v>93</v>
      </c>
      <c r="C21" s="1"/>
      <c r="D21" s="1"/>
    </row>
    <row r="22" spans="1:4" ht="42" customHeight="1" x14ac:dyDescent="0.5">
      <c r="A22" s="3" t="s">
        <v>94</v>
      </c>
      <c r="B22" s="3" t="s">
        <v>95</v>
      </c>
      <c r="C22" s="1"/>
      <c r="D22" s="1"/>
    </row>
    <row r="23" spans="1:4" ht="48.5" customHeight="1" x14ac:dyDescent="0.5">
      <c r="A23" s="3" t="s">
        <v>96</v>
      </c>
      <c r="B23" s="3" t="s">
        <v>97</v>
      </c>
      <c r="C23" s="1"/>
      <c r="D23" s="1"/>
    </row>
    <row r="24" spans="1:4" x14ac:dyDescent="0.5">
      <c r="A24" s="1"/>
      <c r="B24" s="1"/>
      <c r="C24" s="1"/>
      <c r="D24" s="1"/>
    </row>
    <row r="25" spans="1:4" x14ac:dyDescent="0.5">
      <c r="A25" s="1"/>
      <c r="B25" s="1"/>
      <c r="C25" s="1"/>
      <c r="D25" s="1"/>
    </row>
    <row r="26" spans="1:4" ht="24" customHeight="1" x14ac:dyDescent="0.5">
      <c r="A26" s="12" t="s">
        <v>98</v>
      </c>
      <c r="B26" s="12" t="s">
        <v>99</v>
      </c>
      <c r="C26" s="1"/>
      <c r="D26" s="1"/>
    </row>
    <row r="27" spans="1:4" ht="42" customHeight="1" x14ac:dyDescent="0.5">
      <c r="A27" s="3" t="s">
        <v>100</v>
      </c>
      <c r="B27" s="3" t="s">
        <v>101</v>
      </c>
      <c r="C27" s="1"/>
      <c r="D27" s="1"/>
    </row>
    <row r="28" spans="1:4" ht="42" customHeight="1" x14ac:dyDescent="0.5">
      <c r="A28" s="3" t="s">
        <v>102</v>
      </c>
      <c r="B28" s="3" t="s">
        <v>103</v>
      </c>
      <c r="C28" s="1"/>
      <c r="D28" s="1"/>
    </row>
    <row r="29" spans="1:4" ht="42" customHeight="1" x14ac:dyDescent="0.5">
      <c r="A29" s="3" t="s">
        <v>104</v>
      </c>
      <c r="B29" s="3" t="s">
        <v>105</v>
      </c>
      <c r="C29" s="1"/>
      <c r="D29" s="1"/>
    </row>
    <row r="30" spans="1:4" ht="42" customHeight="1" x14ac:dyDescent="0.5">
      <c r="A30" s="3" t="s">
        <v>106</v>
      </c>
      <c r="B30" s="3" t="s">
        <v>107</v>
      </c>
      <c r="C30" s="1"/>
      <c r="D30" s="1"/>
    </row>
    <row r="31" spans="1:4" ht="42" customHeight="1" x14ac:dyDescent="0.5">
      <c r="A31" s="3" t="s">
        <v>108</v>
      </c>
      <c r="B31" s="3" t="s">
        <v>109</v>
      </c>
      <c r="C31" s="1"/>
      <c r="D31" s="1"/>
    </row>
    <row r="32" spans="1:4" ht="42" customHeight="1" x14ac:dyDescent="0.5">
      <c r="A32" s="3" t="s">
        <v>110</v>
      </c>
      <c r="B32" s="3" t="s">
        <v>111</v>
      </c>
    </row>
    <row r="33" spans="1:2" ht="42" customHeight="1" x14ac:dyDescent="0.5">
      <c r="A33" s="3" t="s">
        <v>112</v>
      </c>
      <c r="B33" s="3" t="s">
        <v>113</v>
      </c>
    </row>
    <row r="34" spans="1:2" ht="42" customHeight="1" x14ac:dyDescent="0.5">
      <c r="A34" s="3" t="s">
        <v>114</v>
      </c>
      <c r="B34" s="3" t="s">
        <v>115</v>
      </c>
    </row>
    <row r="35" spans="1:2" ht="42" customHeight="1" x14ac:dyDescent="0.5">
      <c r="A35" s="3" t="s">
        <v>116</v>
      </c>
      <c r="B35" s="3" t="s">
        <v>117</v>
      </c>
    </row>
    <row r="36" spans="1:2" ht="42" customHeight="1" x14ac:dyDescent="0.5">
      <c r="A36" s="3" t="s">
        <v>118</v>
      </c>
      <c r="B36" s="3"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42 specifications</vt:lpstr>
      <vt:lpstr>Shared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Pavlik (ppavlik)</cp:lastModifiedBy>
  <dcterms:modified xsi:type="dcterms:W3CDTF">2026-10-14T14:09:54Z</dcterms:modified>
</cp:coreProperties>
</file>